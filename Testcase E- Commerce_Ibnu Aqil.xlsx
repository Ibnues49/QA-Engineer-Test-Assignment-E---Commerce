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71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<sst xmlns="http://schemas.openxmlformats.org/spreadsheetml/2006/main" count="93" uniqueCount="61">
  <si>
    <t>Total Testcase :</t>
  </si>
  <si>
    <t>Total Passed :</t>
  </si>
  <si>
    <t>Total Failed :</t>
  </si>
  <si>
    <t xml:space="preserve">Testcase E - Commerce </t>
  </si>
  <si>
    <t>Positive :</t>
  </si>
  <si>
    <t>Negative :</t>
  </si>
  <si>
    <t xml:space="preserve">No. </t>
  </si>
  <si>
    <t>Test case ID</t>
  </si>
  <si>
    <t xml:space="preserve">Title </t>
  </si>
  <si>
    <t>Test Data</t>
  </si>
  <si>
    <t>Pre-condition</t>
  </si>
  <si>
    <t>Test Steps</t>
  </si>
  <si>
    <t>Expected Result</t>
  </si>
  <si>
    <t>Actual Result</t>
  </si>
  <si>
    <t>Type</t>
  </si>
  <si>
    <t>Status</t>
  </si>
  <si>
    <t>Priority</t>
  </si>
  <si>
    <t>Environment</t>
  </si>
  <si>
    <t>Comment</t>
  </si>
  <si>
    <t xml:space="preserve">TC_001
</t>
  </si>
  <si>
    <t>Melakukan Search Produk - valid</t>
  </si>
  <si>
    <t xml:space="preserve">- website : https://demowebshop.tricentis.com
- username : admin111@gmail.com
- password : admin111
- input search : Laptop
</t>
  </si>
  <si>
    <t>- berhasil melakukan login
- tampil dashboard</t>
  </si>
  <si>
    <t>1. Pada halaman dashboard, click 'Search Bar'
2. Input Laptop, kemudian click 'Search'
3. Tampil data Laptop yang disearch</t>
  </si>
  <si>
    <t xml:space="preserve">1. Berhasil melakukan search product
2. Tampil product yang di search
</t>
  </si>
  <si>
    <t>Positive</t>
  </si>
  <si>
    <t>Success</t>
  </si>
  <si>
    <t>High</t>
  </si>
  <si>
    <t xml:space="preserve">- Chrome : 142.0.7444.176 (Official Build) (64-bit)
- Windows : 11 </t>
  </si>
  <si>
    <t>2</t>
  </si>
  <si>
    <t xml:space="preserve">TC_002
</t>
  </si>
  <si>
    <t>Melakukan Search Produk - Invalid search menggunakan data yang tdak ada</t>
  </si>
  <si>
    <t xml:space="preserve">- website : https://demowebshop.tricentis.com
- username : admin111@gmail.com
- password : admin111
- input search : mobil
</t>
  </si>
  <si>
    <t>1. Pada halaman dashboard, click 'Search Bar'
2. Input Test123, kemudian click 'Search'
3. Click button Serach</t>
  </si>
  <si>
    <t>1. Gagal  melakukan search product
2. Product yang di search tidak tampil
3. Tampil wording 'No products were found that matched your criteria.'</t>
  </si>
  <si>
    <t>Negative</t>
  </si>
  <si>
    <t>Medium</t>
  </si>
  <si>
    <t xml:space="preserve"> EDGE CASE</t>
  </si>
  <si>
    <t>3</t>
  </si>
  <si>
    <t>TC_003</t>
  </si>
  <si>
    <t>Melakukan Search Produk - Invalid search menggunakan Spesial character</t>
  </si>
  <si>
    <t xml:space="preserve">- website : https://demowebshop.tricentis.com
- username : admin111@gmail.com
- password : admin111
- input search : @##123
</t>
  </si>
  <si>
    <t>EDGE CASE</t>
  </si>
  <si>
    <t>4</t>
  </si>
  <si>
    <t>TC_004</t>
  </si>
  <si>
    <t>Melakukan Add Produk to Cart</t>
  </si>
  <si>
    <t xml:space="preserve">- website : https://demowebshop.tricentis.com
- username : admin111@gmail.com
- password : admin111
- Product : 14.1-inch Laptop
</t>
  </si>
  <si>
    <t>1. Pada halaman dashboard, click produk '14.1-inch Laptop'
2. Input Recipient's Name
3. Input Recipient's Email
4. Click 'Add to Cart ' pada produk yang dipilih
5. Tampil notification bar  'The product has been added to your shopping cart'</t>
  </si>
  <si>
    <t xml:space="preserve">1. Berhasil melakukan check out
2. Tampil notification bar 'The product has been added to your shopping cart'
3. Shopping Cart bertambah
</t>
  </si>
  <si>
    <t>5</t>
  </si>
  <si>
    <t>TC_005</t>
  </si>
  <si>
    <t>Melakukan Checkout - Valid</t>
  </si>
  <si>
    <t>- website : https://demowebshop.tricentis.com
- username : admin111@gmail.com
- password : admin111
- Product : 14.1-inch Laptop
- Quantity : 1
- Price: $1590.00
- Total : $1590.00
Billing address
- First name: TEST
- Last name: 1111
- Email: admin111@gmail.com
- Company: ADIDAS
- Country: INDONESIA
- State / province: Other (Non US)
- City: Jakarta Barat
- Address 1: Jl. Bahagia II No. 17
- Address 2: -
- Zip / postal code: 45212
- Phone number: 085711112222
- Fax number: -
Shipping address
- Address : admintest1, Jl. Bahagia II No. 17, Jakarta barat, 45212, Indonesia
Shipping method
- Ground (0.00)
Payment method
- Cash On Delivery (COD) (7.00)
Payment information
- You will pay by COD</t>
  </si>
  <si>
    <t>1. Pada halaman dashboard, click produk '$25 Virtual Gift Card'
2. Input Recipient's Name
3. Input Recipient's Email
4. Click 'Add to Cart ' pada produk yang dipilih
6. Tampil notification bar  'The product has been added to your shopping cart'
7. Click 'Shopping cart', tampil page 'Shopping cart'
8. click check box 'I agree with the terms of service and I adhere to them unconditionally (read)', kemudian click' Checkout'
9. Isi Billing Address, click Continue
10. Pilih Payment Method, click Continue
11. Tampil Payment Information 'You will pay by COD'
12. Tampil 'Confirm order', click Continue
13. Berhasil melakukan check out, tampil wording 'Your order has been successfully processed!Your order has been successfully processed!' beserta Order number</t>
  </si>
  <si>
    <t xml:space="preserve">1. Berhasil melakukan check out
2. Tampil alert ' Your order has been successfully processed!'
3. Tampil Order number
</t>
  </si>
  <si>
    <t>6</t>
  </si>
  <si>
    <t>TC_006</t>
  </si>
  <si>
    <t>Melakukan Checkout - Invalid dengan data yg salah</t>
  </si>
  <si>
    <t>- website : https://demowebshop.tricentis.com
- username : admin111@gmail.com
- password : admin111
- Product : 14.1-inch Laptop
- Quantity : 1
- Price: $1590.00
- Total : $1590.00
Billing address
- First name: TEST
- Last name: -
- Email: admin111gmail.com
- Company: ADIDAS
- Country: INDONESIA
- State / province: Other (Non US)
- City: Jakarta Barat
- Address 1: Jl. Bahagia II No. 17
- Address 2: -
- Zip / postal code: 89021
- Phone number: 085711112222
- Fax number: -</t>
  </si>
  <si>
    <t xml:space="preserve">1. Pada halaman dashboard, click produk '$25 Virtual Gift Card'
2. Input Recipient's Name
3. Input Recipient's Email
4. Click 'Add to Cart ' pada produk yang dipilih
5. Tampil notification bar  'The product has been added to your shopping cart'
5. Click 'Shopping cart', tampil page 'Shopping cart'
6. click check box 'I agree with the terms of service and I adhere to them unconditionally (read)', kemudian click' Checkout'
7. Isi Billing Address tanpa input Last name, click Continue
8. Tampil alert 'Last name is required.'
</t>
  </si>
  <si>
    <t xml:space="preserve">1. Gagal melakukan check out
2. Tampil alert 'Last name is required.'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</si>
</sst>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Aptos Narrow"/>
      <charset val="134"/>
      <scheme val="minor"/>
    </font>
    <font>
      <b/>
      <sz val="14"/>
      <color theme="1"/>
      <name val="Arial Narrow"/>
      <charset val="134"/>
    </font>
    <font>
      <b/>
      <sz val="15"/>
      <color theme="1"/>
      <name val="Arial"/>
      <charset val="134"/>
    </font>
    <font>
      <sz val="15"/>
      <color theme="1"/>
      <name val="Times New Roman"/>
      <charset val="134"/>
    </font>
    <font>
      <b/>
      <sz val="11"/>
      <color theme="1"/>
      <name val="Aptos Narrow"/>
      <charset val="134"/>
      <scheme val="minor"/>
    </font>
    <font>
      <sz val="12"/>
      <color theme="1"/>
      <name val="Arial"/>
      <charset val="134"/>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6">
    <fill>
      <patternFill patternType="none"/>
    </fill>
    <fill>
      <patternFill patternType="gray125"/>
    </fill>
    <fill>
      <patternFill patternType="solid">
        <fgColor rgb="FFB6D7A8"/>
        <bgColor indexed="64"/>
      </patternFill>
    </fill>
    <fill>
      <patternFill patternType="solid">
        <fgColor rgb="FFEA999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5" borderId="6"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7" applyNumberFormat="0" applyFill="0" applyAlignment="0" applyProtection="0">
      <alignment vertical="center"/>
    </xf>
    <xf numFmtId="0" fontId="12" fillId="0" borderId="7" applyNumberFormat="0" applyFill="0" applyAlignment="0" applyProtection="0">
      <alignment vertical="center"/>
    </xf>
    <xf numFmtId="0" fontId="13" fillId="0" borderId="8" applyNumberFormat="0" applyFill="0" applyAlignment="0" applyProtection="0">
      <alignment vertical="center"/>
    </xf>
    <xf numFmtId="0" fontId="13" fillId="0" borderId="0" applyNumberFormat="0" applyFill="0" applyBorder="0" applyAlignment="0" applyProtection="0">
      <alignment vertical="center"/>
    </xf>
    <xf numFmtId="0" fontId="14" fillId="6" borderId="9" applyNumberFormat="0" applyAlignment="0" applyProtection="0">
      <alignment vertical="center"/>
    </xf>
    <xf numFmtId="0" fontId="15" fillId="7" borderId="10" applyNumberFormat="0" applyAlignment="0" applyProtection="0">
      <alignment vertical="center"/>
    </xf>
    <xf numFmtId="0" fontId="16" fillId="7" borderId="9" applyNumberFormat="0" applyAlignment="0" applyProtection="0">
      <alignment vertical="center"/>
    </xf>
    <xf numFmtId="0" fontId="17" fillId="8" borderId="11" applyNumberFormat="0" applyAlignment="0" applyProtection="0">
      <alignment vertical="center"/>
    </xf>
    <xf numFmtId="0" fontId="18" fillId="0" borderId="12" applyNumberFormat="0" applyFill="0" applyAlignment="0" applyProtection="0">
      <alignment vertical="center"/>
    </xf>
    <xf numFmtId="0" fontId="19" fillId="0" borderId="13"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19">
    <xf numFmtId="0" fontId="0" fillId="0" borderId="0" xfId="0"/>
    <xf numFmtId="0" fontId="0" fillId="0" borderId="0" xfId="0" applyAlignment="1">
      <alignment wrapText="1"/>
    </xf>
    <xf numFmtId="0" fontId="0" fillId="0" borderId="0" xfId="0" applyAlignment="1">
      <alignment vertical="top"/>
    </xf>
    <xf numFmtId="0" fontId="1" fillId="0" borderId="1" xfId="0" applyFont="1" applyBorder="1" applyAlignment="1">
      <alignment horizontal="right" vertical="top" wrapText="1" readingOrder="1"/>
    </xf>
    <xf numFmtId="0" fontId="1" fillId="0" borderId="2" xfId="0" applyFont="1" applyBorder="1" applyAlignment="1">
      <alignment horizontal="center" vertical="center" wrapText="1" readingOrder="1"/>
    </xf>
    <xf numFmtId="0" fontId="1" fillId="0" borderId="3" xfId="0" applyFont="1" applyBorder="1" applyAlignment="1">
      <alignment horizontal="right" vertical="center" wrapText="1" readingOrder="1"/>
    </xf>
    <xf numFmtId="0" fontId="1" fillId="2" borderId="4" xfId="0" applyFont="1" applyFill="1" applyBorder="1" applyAlignment="1">
      <alignment horizontal="center" vertical="center" wrapText="1" readingOrder="1"/>
    </xf>
    <xf numFmtId="0" fontId="1" fillId="3" borderId="4" xfId="0" applyFont="1" applyFill="1" applyBorder="1" applyAlignment="1">
      <alignment horizontal="center" vertical="center" wrapText="1" readingOrder="1"/>
    </xf>
    <xf numFmtId="0" fontId="2" fillId="0" borderId="5" xfId="0" applyFont="1" applyBorder="1" applyAlignment="1">
      <alignment horizontal="center" vertical="center"/>
    </xf>
    <xf numFmtId="0" fontId="3" fillId="0" borderId="5" xfId="0" applyFont="1" applyBorder="1" applyAlignment="1">
      <alignment horizontal="center" vertical="center"/>
    </xf>
    <xf numFmtId="0" fontId="4" fillId="4" borderId="5" xfId="0" applyFont="1" applyFill="1" applyBorder="1" applyAlignment="1">
      <alignment horizontal="center" vertical="center" wrapText="1"/>
    </xf>
    <xf numFmtId="0" fontId="4" fillId="4" borderId="5" xfId="0" applyFont="1" applyFill="1" applyBorder="1" applyAlignment="1">
      <alignment horizontal="center" vertical="top" wrapText="1"/>
    </xf>
    <xf numFmtId="49" fontId="5" fillId="0" borderId="5" xfId="0" applyNumberFormat="1" applyFont="1" applyBorder="1" applyAlignment="1">
      <alignment horizontal="center" vertical="top" wrapText="1"/>
    </xf>
    <xf numFmtId="49" fontId="5" fillId="0" borderId="5" xfId="0" applyNumberFormat="1" applyFont="1" applyBorder="1" applyAlignment="1">
      <alignment vertical="top" wrapText="1"/>
    </xf>
    <xf numFmtId="0" fontId="5" fillId="0" borderId="0" xfId="0" applyFont="1" applyAlignment="1">
      <alignment vertical="top" wrapText="1"/>
    </xf>
    <xf numFmtId="49" fontId="5" fillId="0" borderId="5" xfId="0" applyNumberFormat="1" applyFont="1" applyFill="1" applyBorder="1" applyAlignment="1">
      <alignment vertical="top" wrapText="1"/>
    </xf>
    <xf numFmtId="0" fontId="5" fillId="0" borderId="0" xfId="0" applyFont="1"/>
    <xf numFmtId="0" fontId="5" fillId="0" borderId="0" xfId="0" applyFont="1" applyAlignment="1">
      <alignment vertical="top"/>
    </xf>
    <xf numFmtId="49" fontId="5" fillId="0" borderId="5" xfId="0" applyNumberFormat="1" applyFont="1" applyFill="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R19"/>
  <sheetViews>
    <sheetView tabSelected="1" zoomScale="70" zoomScaleNormal="70" workbookViewId="0">
      <selection activeCell="F3" sqref="F3:G7"/>
    </sheetView>
  </sheetViews>
  <sheetFormatPr defaultColWidth="9" defaultRowHeight="14"/>
  <cols>
    <col min="1" max="1" width="6.13333333333333" customWidth="1"/>
    <col min="2" max="2" width="6" customWidth="1"/>
    <col min="3" max="3" width="11" customWidth="1"/>
    <col min="4" max="4" width="22.425" customWidth="1"/>
    <col min="5" max="5" width="29.7083333333333" customWidth="1"/>
    <col min="6" max="6" width="28.0916666666667" customWidth="1"/>
    <col min="7" max="7" width="39.4583333333333" style="2" customWidth="1"/>
    <col min="8" max="8" width="35.9083333333333" customWidth="1"/>
    <col min="9" max="9" width="36.0916666666667" customWidth="1"/>
    <col min="10" max="10" width="11.7083333333333" customWidth="1"/>
    <col min="11" max="11" width="11.575" customWidth="1"/>
    <col min="12" max="12" width="10.1333333333333" customWidth="1"/>
    <col min="13" max="13" width="20.425" customWidth="1"/>
    <col min="14" max="14" width="16" customWidth="1"/>
  </cols>
  <sheetData>
    <row r="3" ht="18.75" spans="6:7">
      <c r="F3" s="3" t="s">
        <v>0</v>
      </c>
      <c r="G3" s="4">
        <f>COUNTA(B12:B20)</f>
        <v>6</v>
      </c>
    </row>
    <row r="4" ht="18.75" spans="6:7">
      <c r="F4" s="5" t="s">
        <v>1</v>
      </c>
      <c r="G4" s="6">
        <f>COUNTIF(K:K,"Success")</f>
        <v>6</v>
      </c>
    </row>
    <row r="5" ht="18.75" spans="6:7">
      <c r="F5" s="5" t="s">
        <v>2</v>
      </c>
      <c r="G5" s="7">
        <f>COUNTIF(K:K,"Failed")</f>
        <v>0</v>
      </c>
    </row>
    <row r="6" ht="18.75" spans="3:7">
      <c r="C6" s="8" t="s">
        <v>3</v>
      </c>
      <c r="D6" s="9"/>
      <c r="F6" s="5" t="s">
        <v>4</v>
      </c>
      <c r="G6" s="6">
        <f>COUNTIF(J:J,"Positive")</f>
        <v>3</v>
      </c>
    </row>
    <row r="7" ht="19" customHeight="1" spans="3:7">
      <c r="C7" s="9"/>
      <c r="D7" s="9"/>
      <c r="F7" s="5" t="s">
        <v>5</v>
      </c>
      <c r="G7" s="7">
        <f>COUNTIF(J:J,"Negative")</f>
        <v>3</v>
      </c>
    </row>
    <row r="11" s="1" customFormat="1" ht="28" spans="2:14">
      <c r="B11" s="10" t="s">
        <v>6</v>
      </c>
      <c r="C11" s="10" t="s">
        <v>7</v>
      </c>
      <c r="D11" s="10" t="s">
        <v>8</v>
      </c>
      <c r="E11" s="10" t="s">
        <v>9</v>
      </c>
      <c r="F11" s="10" t="s">
        <v>10</v>
      </c>
      <c r="G11" s="11" t="s">
        <v>11</v>
      </c>
      <c r="H11" s="10" t="s">
        <v>12</v>
      </c>
      <c r="I11" s="10" t="s">
        <v>13</v>
      </c>
      <c r="J11" s="10" t="s">
        <v>14</v>
      </c>
      <c r="K11" s="10" t="s">
        <v>15</v>
      </c>
      <c r="L11" s="10" t="s">
        <v>16</v>
      </c>
      <c r="M11" s="10" t="s">
        <v>17</v>
      </c>
      <c r="N11" s="10" t="s">
        <v>18</v>
      </c>
    </row>
    <row r="12" ht="124" spans="2:18">
      <c r="B12" s="12">
        <v>1</v>
      </c>
      <c r="C12" s="12" t="s">
        <v>19</v>
      </c>
      <c r="D12" s="13" t="s">
        <v>20</v>
      </c>
      <c r="E12" s="13" t="s">
        <v>21</v>
      </c>
      <c r="F12" s="13" t="s">
        <v>22</v>
      </c>
      <c r="G12" s="13" t="s">
        <v>23</v>
      </c>
      <c r="H12" s="13" t="s">
        <v>24</v>
      </c>
      <c r="I12" s="13" t="s">
        <v>24</v>
      </c>
      <c r="J12" s="12" t="s">
        <v>25</v>
      </c>
      <c r="K12" s="18" t="s">
        <v>26</v>
      </c>
      <c r="L12" s="12" t="s">
        <v>27</v>
      </c>
      <c r="M12" s="13" t="s">
        <v>28</v>
      </c>
      <c r="N12" s="13"/>
      <c r="O12" s="16"/>
      <c r="P12" s="16"/>
      <c r="Q12" s="16"/>
      <c r="R12" s="16"/>
    </row>
    <row r="13" ht="124" spans="2:18">
      <c r="B13" s="12" t="s">
        <v>29</v>
      </c>
      <c r="C13" s="12" t="s">
        <v>30</v>
      </c>
      <c r="D13" s="13" t="s">
        <v>31</v>
      </c>
      <c r="E13" s="13" t="s">
        <v>32</v>
      </c>
      <c r="F13" s="13" t="s">
        <v>22</v>
      </c>
      <c r="G13" s="13" t="s">
        <v>33</v>
      </c>
      <c r="H13" s="13" t="s">
        <v>34</v>
      </c>
      <c r="I13" s="13" t="s">
        <v>34</v>
      </c>
      <c r="J13" s="12" t="s">
        <v>35</v>
      </c>
      <c r="K13" s="18" t="s">
        <v>26</v>
      </c>
      <c r="L13" s="12" t="s">
        <v>36</v>
      </c>
      <c r="M13" s="13" t="s">
        <v>28</v>
      </c>
      <c r="N13" s="13" t="s">
        <v>37</v>
      </c>
      <c r="O13" s="16"/>
      <c r="P13" s="16"/>
      <c r="Q13" s="16"/>
      <c r="R13" s="16"/>
    </row>
    <row r="14" ht="124" spans="2:18">
      <c r="B14" s="12" t="s">
        <v>38</v>
      </c>
      <c r="C14" s="12" t="s">
        <v>39</v>
      </c>
      <c r="D14" s="13" t="s">
        <v>40</v>
      </c>
      <c r="E14" s="13" t="s">
        <v>41</v>
      </c>
      <c r="F14" s="13" t="s">
        <v>22</v>
      </c>
      <c r="G14" s="13" t="s">
        <v>33</v>
      </c>
      <c r="H14" s="13" t="s">
        <v>34</v>
      </c>
      <c r="I14" s="13" t="s">
        <v>34</v>
      </c>
      <c r="J14" s="12" t="s">
        <v>35</v>
      </c>
      <c r="K14" s="18" t="s">
        <v>26</v>
      </c>
      <c r="L14" s="12" t="s">
        <v>36</v>
      </c>
      <c r="M14" s="13" t="s">
        <v>28</v>
      </c>
      <c r="N14" s="13" t="s">
        <v>42</v>
      </c>
      <c r="O14" s="16"/>
      <c r="P14" s="16"/>
      <c r="Q14" s="16"/>
      <c r="R14" s="16"/>
    </row>
    <row r="15" ht="124" spans="2:18">
      <c r="B15" s="12" t="s">
        <v>43</v>
      </c>
      <c r="C15" s="12" t="s">
        <v>44</v>
      </c>
      <c r="D15" s="13" t="s">
        <v>45</v>
      </c>
      <c r="E15" s="13" t="s">
        <v>46</v>
      </c>
      <c r="F15" s="13" t="s">
        <v>22</v>
      </c>
      <c r="G15" s="14" t="s">
        <v>47</v>
      </c>
      <c r="H15" s="15" t="s">
        <v>48</v>
      </c>
      <c r="I15" s="15" t="s">
        <v>48</v>
      </c>
      <c r="J15" s="12" t="s">
        <v>25</v>
      </c>
      <c r="K15" s="18" t="s">
        <v>26</v>
      </c>
      <c r="L15" s="12" t="s">
        <v>27</v>
      </c>
      <c r="M15" s="13" t="s">
        <v>28</v>
      </c>
      <c r="N15" s="13"/>
      <c r="O15" s="16"/>
      <c r="P15" s="16"/>
      <c r="Q15" s="16"/>
      <c r="R15" s="16"/>
    </row>
    <row r="16" ht="409.5" spans="2:18">
      <c r="B16" s="12" t="s">
        <v>49</v>
      </c>
      <c r="C16" s="12" t="s">
        <v>50</v>
      </c>
      <c r="D16" s="13" t="s">
        <v>51</v>
      </c>
      <c r="E16" s="13" t="s">
        <v>52</v>
      </c>
      <c r="F16" s="13" t="s">
        <v>22</v>
      </c>
      <c r="G16" s="13" t="s">
        <v>53</v>
      </c>
      <c r="H16" s="15" t="s">
        <v>54</v>
      </c>
      <c r="I16" s="15" t="s">
        <v>54</v>
      </c>
      <c r="J16" s="12" t="s">
        <v>25</v>
      </c>
      <c r="K16" s="18" t="s">
        <v>26</v>
      </c>
      <c r="L16" s="12" t="s">
        <v>27</v>
      </c>
      <c r="M16" s="13" t="s">
        <v>28</v>
      </c>
      <c r="N16" s="13"/>
      <c r="O16" s="16"/>
      <c r="P16" s="16"/>
      <c r="Q16" s="16"/>
      <c r="R16" s="16"/>
    </row>
    <row r="17" ht="403" spans="2:18">
      <c r="B17" s="12" t="s">
        <v>55</v>
      </c>
      <c r="C17" s="12" t="s">
        <v>56</v>
      </c>
      <c r="D17" s="13" t="s">
        <v>57</v>
      </c>
      <c r="E17" s="13" t="s">
        <v>58</v>
      </c>
      <c r="F17" s="13" t="s">
        <v>22</v>
      </c>
      <c r="G17" s="13" t="s">
        <v>59</v>
      </c>
      <c r="H17" s="15" t="s">
        <v>60</v>
      </c>
      <c r="I17" s="15" t="s">
        <v>60</v>
      </c>
      <c r="J17" s="12" t="s">
        <v>35</v>
      </c>
      <c r="K17" s="18" t="s">
        <v>26</v>
      </c>
      <c r="L17" s="12" t="s">
        <v>27</v>
      </c>
      <c r="M17" s="13" t="s">
        <v>28</v>
      </c>
      <c r="N17" s="13" t="s">
        <v>42</v>
      </c>
      <c r="O17" s="16"/>
      <c r="P17" s="16"/>
      <c r="Q17" s="16"/>
      <c r="R17" s="16"/>
    </row>
    <row r="18" ht="15.5" spans="2:18">
      <c r="B18" s="16"/>
      <c r="C18" s="16"/>
      <c r="D18" s="16"/>
      <c r="E18" s="16"/>
      <c r="F18" s="16"/>
      <c r="G18" s="17"/>
      <c r="H18" s="16"/>
      <c r="I18" s="16"/>
      <c r="J18" s="16"/>
      <c r="K18" s="16"/>
      <c r="L18" s="16"/>
      <c r="M18" s="16"/>
      <c r="N18" s="16"/>
      <c r="O18" s="16"/>
      <c r="P18" s="16"/>
      <c r="Q18" s="16"/>
      <c r="R18" s="16"/>
    </row>
    <row r="19" ht="15.5" spans="2:18">
      <c r="B19" s="16"/>
      <c r="C19" s="16"/>
      <c r="D19" s="16"/>
      <c r="E19" s="16"/>
      <c r="F19" s="16"/>
      <c r="G19" s="17"/>
      <c r="H19" s="16"/>
      <c r="I19" s="16"/>
      <c r="J19" s="16"/>
      <c r="K19" s="16"/>
      <c r="L19" s="16"/>
      <c r="M19" s="16"/>
      <c r="N19" s="16"/>
      <c r="O19" s="16"/>
      <c r="P19" s="16"/>
      <c r="Q19" s="16"/>
      <c r="R19" s="16"/>
    </row>
  </sheetData>
  <mergeCells count="1">
    <mergeCell ref="C6:D7"/>
  </mergeCells>
  <dataValidations count="3">
    <dataValidation type="list" showInputMessage="1" showErrorMessage="1" promptTitle="Positive" sqref="J12:J17">
      <formula1>"Positive, Negative"</formula1>
    </dataValidation>
    <dataValidation type="list" allowBlank="1" showInputMessage="1" showErrorMessage="1" sqref="K12:K17">
      <formula1>"Success, Failed"</formula1>
    </dataValidation>
    <dataValidation type="list" allowBlank="1" showInputMessage="1" showErrorMessage="1" sqref="L12:L17">
      <formula1>"High, Medium, Low"</formula1>
    </dataValidation>
  </dataValidations>
  <pageMargins left="0.7" right="0.7" top="0.75" bottom="0.75" header="0.3" footer="0.3"/>
  <pageSetup paperSize="1" orientation="portrait"/>
  <headerFooter/>
  <ignoredErrors>
    <ignoredError sqref="B1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ibnu aqil</cp:lastModifiedBy>
  <dcterms:created xsi:type="dcterms:W3CDTF">2025-11-28T12:24:00Z</dcterms:created>
  <dcterms:modified xsi:type="dcterms:W3CDTF">2025-11-30T08:58:12Z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ED1AE1A6E7DD41AAAA763FA98D725484_13</vt:lpwstr>
  </property>
  <property fmtid="{D5CDD505-2E9C-101B-9397-08002B2CF9AE}" pid="3" name="KSOProductBuildVer">
    <vt:lpwstr>1033-12.2.0.23155</vt:lpwstr>
  </property>
</Properties>
</file>